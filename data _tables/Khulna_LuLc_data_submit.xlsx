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emote Sensing\Bangladesh_25Y_LULC_Project\"/>
    </mc:Choice>
  </mc:AlternateContent>
  <xr:revisionPtr revIDLastSave="0" documentId="13_ncr:9_{3177DDC4-AFA8-41D8-A665-4CFD659A8604}" xr6:coauthVersionLast="47" xr6:coauthVersionMax="47" xr10:uidLastSave="{00000000-0000-0000-0000-000000000000}"/>
  <bookViews>
    <workbookView xWindow="-108" yWindow="-108" windowWidth="23256" windowHeight="12456" activeTab="1" xr2:uid="{368A6C82-0832-4752-B93B-EE5CFCF2D011}"/>
  </bookViews>
  <sheets>
    <sheet name="Summary" sheetId="6" r:id="rId1"/>
    <sheet name="Area Statistics" sheetId="8" r:id="rId2"/>
    <sheet name="Transition Matrix" sheetId="7" r:id="rId3"/>
    <sheet name="Detail1" sheetId="4" state="hidden" r:id="rId4"/>
    <sheet name="PivotTable" sheetId="3" r:id="rId5"/>
    <sheet name="LULC_transition_matrix" sheetId="1" r:id="rId6"/>
  </sheets>
  <calcPr calcId="0"/>
  <pivotCaches>
    <pivotCache cacheId="13" r:id="rId7"/>
  </pivotCaches>
</workbook>
</file>

<file path=xl/calcChain.xml><?xml version="1.0" encoding="utf-8"?>
<calcChain xmlns="http://schemas.openxmlformats.org/spreadsheetml/2006/main">
  <c r="H7" i="7" l="1"/>
  <c r="H8" i="7"/>
  <c r="H9" i="7"/>
  <c r="H10" i="7"/>
  <c r="H11" i="7"/>
  <c r="H6" i="7"/>
  <c r="C12" i="7"/>
  <c r="D12" i="7"/>
  <c r="E12" i="7"/>
  <c r="F12" i="7"/>
  <c r="G12" i="7"/>
  <c r="B12" i="7"/>
  <c r="E21" i="3"/>
  <c r="F22" i="3"/>
  <c r="F23" i="3"/>
  <c r="F24" i="3"/>
  <c r="F25" i="3"/>
  <c r="F21" i="3"/>
  <c r="E22" i="3"/>
  <c r="E23" i="3"/>
  <c r="E24" i="3"/>
  <c r="E25" i="3"/>
  <c r="G23" i="3" l="1"/>
  <c r="H23" i="3" s="1"/>
  <c r="G25" i="3"/>
  <c r="H25" i="3" s="1"/>
  <c r="G22" i="3"/>
  <c r="H22" i="3" s="1"/>
  <c r="G21" i="3"/>
  <c r="H21" i="3" s="1"/>
  <c r="G24" i="3"/>
  <c r="H24" i="3" s="1"/>
</calcChain>
</file>

<file path=xl/sharedStrings.xml><?xml version="1.0" encoding="utf-8"?>
<sst xmlns="http://schemas.openxmlformats.org/spreadsheetml/2006/main" count="145" uniqueCount="77">
  <si>
    <t>system:index</t>
  </si>
  <si>
    <t>Area_sqkm</t>
  </si>
  <si>
    <t>From_Class_ID</t>
  </si>
  <si>
    <t>To_Class_ID</t>
  </si>
  <si>
    <t>Transition_Code</t>
  </si>
  <si>
    <t>.geo</t>
  </si>
  <si>
    <t>{"type":"MultiPoint","coordinates":[]}</t>
  </si>
  <si>
    <t>Grand Total</t>
  </si>
  <si>
    <t>Column Labels</t>
  </si>
  <si>
    <t>Sum of Area_sqkm</t>
  </si>
  <si>
    <t>water</t>
  </si>
  <si>
    <t>Class Name</t>
  </si>
  <si>
    <t>2000 Area</t>
  </si>
  <si>
    <t>2025 Area</t>
  </si>
  <si>
    <t>Persistance</t>
  </si>
  <si>
    <t>Loss</t>
  </si>
  <si>
    <t>Gain</t>
  </si>
  <si>
    <t>Net Change</t>
  </si>
  <si>
    <t>Change(%)</t>
  </si>
  <si>
    <t>Water</t>
  </si>
  <si>
    <t>Built-up</t>
  </si>
  <si>
    <t>Agriculture</t>
  </si>
  <si>
    <t>Forest</t>
  </si>
  <si>
    <t>Barren</t>
  </si>
  <si>
    <t>built-up</t>
  </si>
  <si>
    <t>Details for Sum of Area_sqkm - From_Class_ID: 3, To_Class_ID: 4</t>
  </si>
  <si>
    <t>Multi-Temporal LULC</t>
  </si>
  <si>
    <t>Study Area: Khulna, Bangladesh (AOI: 238.74 sq km) | Sensor: Landsat 5, 7, 8, 9</t>
  </si>
  <si>
    <t>Parameter</t>
  </si>
  <si>
    <t>Configuration / Specification</t>
  </si>
  <si>
    <t>Study Region</t>
  </si>
  <si>
    <t>Khulna Deltaic Belt, Bangladesh (AOI: [89.48, 22.75, 89.62, 22.90])</t>
  </si>
  <si>
    <t>Temporal Range</t>
  </si>
  <si>
    <t>2000, 2010, 2020, 2025</t>
  </si>
  <si>
    <t>Sensors</t>
  </si>
  <si>
    <t>Landsat 5 TM, Landsat 7 ETM+, Landsat 8 OLI, Landsat 9 OLI-2 (Tier 1 Surface Reflectance)</t>
  </si>
  <si>
    <t>Spatial Resolution</t>
  </si>
  <si>
    <t>30 meters</t>
  </si>
  <si>
    <t>Feature Space</t>
  </si>
  <si>
    <t>6 Surface Reflectance Bands + 7 Indices (NDVI, NDTI, MNDWI, BUI, BSI, LSWI, NDBI) + GLCM Textures + Topography</t>
  </si>
  <si>
    <t>Classifier</t>
  </si>
  <si>
    <t>Random Forest (300 Trees, minLeafPopulation=1, variablesPerSplit=5)</t>
  </si>
  <si>
    <t>Validation Protocol</t>
  </si>
  <si>
    <t>Independent Spatial 2-Fold Checkerboard Grid Cross-Validation</t>
  </si>
  <si>
    <t>Spatial Overall Accuracy</t>
  </si>
  <si>
    <t>Spatial Kappa Coefficient</t>
  </si>
  <si>
    <t>Class ID</t>
  </si>
  <si>
    <t>Producer's Accuracy (PA)</t>
  </si>
  <si>
    <t>Consumer's Accuracy (CA)</t>
  </si>
  <si>
    <t>Forest / Canopy</t>
  </si>
  <si>
    <t>Barren Land</t>
  </si>
  <si>
    <t>From(2000) to (2025)</t>
  </si>
  <si>
    <t>Class Names</t>
  </si>
  <si>
    <t>From (2000) \ To (2025)</t>
  </si>
  <si>
    <t>Water (0)</t>
  </si>
  <si>
    <t>Built-up (1)</t>
  </si>
  <si>
    <t>Agriculture (2)</t>
  </si>
  <si>
    <t>Forest (3)</t>
  </si>
  <si>
    <t>Barren (4)</t>
  </si>
  <si>
    <t>Total 2000 (sq km)</t>
  </si>
  <si>
    <t>2000 Share (%)</t>
  </si>
  <si>
    <t>Total 2025 (sq km)</t>
  </si>
  <si>
    <t>2025 Share (%)</t>
  </si>
  <si>
    <t xml:space="preserve">Transition Matrix </t>
  </si>
  <si>
    <t>Gross Loss</t>
  </si>
  <si>
    <t>Gross Gain</t>
  </si>
  <si>
    <t>LULC Class</t>
  </si>
  <si>
    <t>2000 (sq km)</t>
  </si>
  <si>
    <t>2000 (%)</t>
  </si>
  <si>
    <t>2010 (sq km)</t>
  </si>
  <si>
    <t>2010 (%)</t>
  </si>
  <si>
    <t>2020 (sq km)</t>
  </si>
  <si>
    <t>2020 (%)</t>
  </si>
  <si>
    <t>2025 (sq km)</t>
  </si>
  <si>
    <t>2025 (%)</t>
  </si>
  <si>
    <t>--</t>
  </si>
  <si>
    <t>Total Study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</si>
</sst>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71" formatCode="0.00&quot;%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22"/>
      <color theme="1"/>
      <name val="Calibri"/>
      <family val="2"/>
      <scheme val="minor"/>
    </font>
    <font>
      <sz val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33" borderId="0" xfId="0" applyFont="1" applyFill="1" applyAlignment="1">
      <alignment horizontal="left" vertical="center"/>
    </xf>
    <xf numFmtId="0" fontId="21" fillId="0" borderId="10" xfId="0" applyFont="1" applyBorder="1"/>
    <xf numFmtId="0" fontId="22" fillId="0" borderId="10" xfId="0" applyFont="1" applyBorder="1"/>
    <xf numFmtId="10" fontId="22" fillId="0" borderId="10" xfId="0" applyNumberFormat="1" applyFont="1" applyBorder="1"/>
    <xf numFmtId="0" fontId="20" fillId="33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0" fontId="22" fillId="0" borderId="10" xfId="0" applyNumberFormat="1" applyFont="1" applyBorder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4" fillId="34" borderId="11" xfId="0" applyFont="1" applyFill="1" applyBorder="1" applyAlignment="1">
      <alignment horizontal="left" vertical="center"/>
    </xf>
    <xf numFmtId="0" fontId="0" fillId="0" borderId="0" xfId="0" applyNumberFormat="1" applyFill="1" applyBorder="1"/>
    <xf numFmtId="0" fontId="1" fillId="11" borderId="0" xfId="21" applyNumberFormat="1"/>
    <xf numFmtId="0" fontId="16" fillId="11" borderId="0" xfId="21" applyNumberFormat="1" applyFont="1"/>
    <xf numFmtId="0" fontId="16" fillId="0" borderId="12" xfId="0" applyFont="1" applyBorder="1"/>
    <xf numFmtId="0" fontId="16" fillId="0" borderId="13" xfId="0" applyFont="1" applyBorder="1"/>
    <xf numFmtId="0" fontId="16" fillId="0" borderId="14" xfId="0" applyNumberFormat="1" applyFont="1" applyBorder="1"/>
    <xf numFmtId="9" fontId="0" fillId="0" borderId="0" xfId="1" applyFont="1"/>
    <xf numFmtId="165" fontId="16" fillId="0" borderId="0" xfId="1" applyNumberFormat="1" applyFont="1"/>
    <xf numFmtId="0" fontId="25" fillId="0" borderId="0" xfId="0" applyFont="1" applyAlignment="1">
      <alignment horizontal="left"/>
    </xf>
    <xf numFmtId="0" fontId="17" fillId="9" borderId="0" xfId="19"/>
    <xf numFmtId="2" fontId="0" fillId="0" borderId="0" xfId="0" applyNumberFormat="1"/>
    <xf numFmtId="9" fontId="16" fillId="0" borderId="13" xfId="1" applyFont="1" applyBorder="1"/>
    <xf numFmtId="0" fontId="23" fillId="33" borderId="0" xfId="0" applyFont="1" applyFill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171" fontId="26" fillId="0" borderId="10" xfId="0" applyNumberFormat="1" applyFont="1" applyBorder="1" applyAlignment="1">
      <alignment horizontal="center" vertical="center"/>
    </xf>
    <xf numFmtId="0" fontId="24" fillId="34" borderId="11" xfId="0" applyFont="1" applyFill="1" applyBorder="1" applyAlignment="1">
      <alignment horizontal="center" vertical="center"/>
    </xf>
    <xf numFmtId="2" fontId="24" fillId="34" borderId="11" xfId="0" applyNumberFormat="1" applyFont="1" applyFill="1" applyBorder="1" applyAlignment="1">
      <alignment horizontal="center" vertical="center"/>
    </xf>
    <xf numFmtId="171" fontId="24" fillId="34" borderId="11" xfId="0" applyNumberFormat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AAAAAA"/>
      <color rgb="FFE74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</a:t>
            </a:r>
            <a:r>
              <a:rPr lang="en-US" baseline="0"/>
              <a:t> Temporal Area Statistics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'Area Statistics'!$B$17</c:f>
              <c:strCache>
                <c:ptCount val="1"/>
                <c:pt idx="0">
                  <c:v>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Statistics'!$C$16:$F$16</c:f>
              <c:strCache>
                <c:ptCount val="4"/>
                <c:pt idx="0">
                  <c:v>2000 (sq km)</c:v>
                </c:pt>
                <c:pt idx="1">
                  <c:v>2010 (sq km)</c:v>
                </c:pt>
                <c:pt idx="2">
                  <c:v>2020 (sq km)</c:v>
                </c:pt>
                <c:pt idx="3">
                  <c:v>2025 (sq km)</c:v>
                </c:pt>
              </c:strCache>
            </c:strRef>
          </c:cat>
          <c:val>
            <c:numRef>
              <c:f>'Area Statistics'!$C$17:$F$17</c:f>
              <c:numCache>
                <c:formatCode>0.00</c:formatCode>
                <c:ptCount val="4"/>
                <c:pt idx="0">
                  <c:v>19.703161999999999</c:v>
                </c:pt>
                <c:pt idx="1">
                  <c:v>40.599750999999998</c:v>
                </c:pt>
                <c:pt idx="2">
                  <c:v>27.163626000000001</c:v>
                </c:pt>
                <c:pt idx="3">
                  <c:v>22.516010999999999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D-4CA4-8E32-AAFC393083B3}"/>
            </c:ext>
          </c:extLst>
        </c:ser>
        <c:ser>
          <c:idx val="1"/>
          <c:order val="1"/>
          <c:tx>
            <c:strRef>
              <c:f>'Area Statistics'!$B$18</c:f>
              <c:strCache>
                <c:ptCount val="1"/>
                <c:pt idx="0">
                  <c:v>Built-up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Statistics'!$C$16:$F$16</c:f>
              <c:strCache>
                <c:ptCount val="4"/>
                <c:pt idx="0">
                  <c:v>2000 (sq km)</c:v>
                </c:pt>
                <c:pt idx="1">
                  <c:v>2010 (sq km)</c:v>
                </c:pt>
                <c:pt idx="2">
                  <c:v>2020 (sq km)</c:v>
                </c:pt>
                <c:pt idx="3">
                  <c:v>2025 (sq km)</c:v>
                </c:pt>
              </c:strCache>
            </c:strRef>
          </c:cat>
          <c:val>
            <c:numRef>
              <c:f>'Area Statistics'!$C$18:$F$18</c:f>
              <c:numCache>
                <c:formatCode>0.00</c:formatCode>
                <c:ptCount val="4"/>
                <c:pt idx="0">
                  <c:v>11.082072</c:v>
                </c:pt>
                <c:pt idx="1">
                  <c:v>11.572079</c:v>
                </c:pt>
                <c:pt idx="2">
                  <c:v>16.786850999999999</c:v>
                </c:pt>
                <c:pt idx="3">
                  <c:v>15.748532000000001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3D-4CA4-8E32-AAFC393083B3}"/>
            </c:ext>
          </c:extLst>
        </c:ser>
        <c:ser>
          <c:idx val="2"/>
          <c:order val="2"/>
          <c:tx>
            <c:strRef>
              <c:f>'Area Statistics'!$B$19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'Area Statistics'!$C$16:$F$16</c:f>
              <c:strCache>
                <c:ptCount val="4"/>
                <c:pt idx="0">
                  <c:v>2000 (sq km)</c:v>
                </c:pt>
                <c:pt idx="1">
                  <c:v>2010 (sq km)</c:v>
                </c:pt>
                <c:pt idx="2">
                  <c:v>2020 (sq km)</c:v>
                </c:pt>
                <c:pt idx="3">
                  <c:v>2025 (sq km)</c:v>
                </c:pt>
              </c:strCache>
            </c:strRef>
          </c:cat>
          <c:val>
            <c:numRef>
              <c:f>'Area Statistics'!$C$19:$F$19</c:f>
              <c:numCache>
                <c:formatCode>0.00</c:formatCode>
                <c:ptCount val="4"/>
                <c:pt idx="0">
                  <c:v>185.26202799999999</c:v>
                </c:pt>
                <c:pt idx="1">
                  <c:v>180.751329</c:v>
                </c:pt>
                <c:pt idx="2">
                  <c:v>157.779798</c:v>
                </c:pt>
                <c:pt idx="3">
                  <c:v>156.521334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3D-4CA4-8E32-AAFC393083B3}"/>
            </c:ext>
          </c:extLst>
        </c:ser>
        <c:ser>
          <c:idx val="3"/>
          <c:order val="3"/>
          <c:tx>
            <c:strRef>
              <c:f>'Area Statistics'!$B$20</c:f>
              <c:strCache>
                <c:ptCount val="1"/>
                <c:pt idx="0">
                  <c:v>Forest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Statistics'!$C$16:$F$16</c:f>
              <c:strCache>
                <c:ptCount val="4"/>
                <c:pt idx="0">
                  <c:v>2000 (sq km)</c:v>
                </c:pt>
                <c:pt idx="1">
                  <c:v>2010 (sq km)</c:v>
                </c:pt>
                <c:pt idx="2">
                  <c:v>2020 (sq km)</c:v>
                </c:pt>
                <c:pt idx="3">
                  <c:v>2025 (sq km)</c:v>
                </c:pt>
              </c:strCache>
            </c:strRef>
          </c:cat>
          <c:val>
            <c:numRef>
              <c:f>'Area Statistics'!$C$20:$F$20</c:f>
              <c:numCache>
                <c:formatCode>0.00</c:formatCode>
                <c:ptCount val="4"/>
                <c:pt idx="0">
                  <c:v>19.915061000000001</c:v>
                </c:pt>
                <c:pt idx="1">
                  <c:v>1.286897</c:v>
                </c:pt>
                <c:pt idx="2">
                  <c:v>34.192284000000001</c:v>
                </c:pt>
                <c:pt idx="3">
                  <c:v>41.680717999999999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3D-4CA4-8E32-AAFC393083B3}"/>
            </c:ext>
          </c:extLst>
        </c:ser>
        <c:ser>
          <c:idx val="4"/>
          <c:order val="4"/>
          <c:tx>
            <c:strRef>
              <c:f>'Area Statistics'!$B$21</c:f>
              <c:strCache>
                <c:ptCount val="1"/>
                <c:pt idx="0">
                  <c:v>Barren Land</c:v>
                </c:pt>
              </c:strCache>
            </c:strRef>
          </c:tx>
          <c:spPr>
            <a:ln w="28575" cap="rnd">
              <a:solidFill>
                <a:srgbClr val="AAAAA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AAAAAA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Statistics'!$C$16:$F$16</c:f>
              <c:strCache>
                <c:ptCount val="4"/>
                <c:pt idx="0">
                  <c:v>2000 (sq km)</c:v>
                </c:pt>
                <c:pt idx="1">
                  <c:v>2010 (sq km)</c:v>
                </c:pt>
                <c:pt idx="2">
                  <c:v>2020 (sq km)</c:v>
                </c:pt>
                <c:pt idx="3">
                  <c:v>2025 (sq km)</c:v>
                </c:pt>
              </c:strCache>
            </c:strRef>
          </c:cat>
          <c:val>
            <c:numRef>
              <c:f>'Area Statistics'!$C$21:$F$21</c:f>
              <c:numCache>
                <c:formatCode>0.00</c:formatCode>
                <c:ptCount val="4"/>
                <c:pt idx="0">
                  <c:v>2.77834</c:v>
                </c:pt>
                <c:pt idx="1">
                  <c:v>4.5306050000000004</c:v>
                </c:pt>
                <c:pt idx="2">
                  <c:v>2.8181029999999998</c:v>
                </c:pt>
                <c:pt idx="3">
                  <c:v>2.2740670000000001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3D-4CA4-8E32-AAFC393083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5149360"/>
        <c:axId val="2077397423"/>
      </c:lineChart>
      <c:catAx>
        <c:axId val="5651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97423"/>
        <c:crosses val="autoZero"/>
        <c:auto val="1"/>
        <c:lblAlgn val="ctr"/>
        <c:lblOffset val="100"/>
        <c:noMultiLvlLbl val="0"/>
      </c:catAx>
      <c:valAx>
        <c:axId val="207739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  <a:r>
                  <a:rPr lang="en-US" baseline="0"/>
                  <a:t> (km</a:t>
                </a:r>
                <a:r>
                  <a:rPr lang="en-US" sz="1000" b="0" i="0" u="none" strike="noStrike" baseline="0"/>
                  <a:t>²)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</a:t>
            </a:r>
            <a:r>
              <a:rPr lang="en-US" baseline="0"/>
              <a:t> Transformation (Loss vs Gain:2000-2025)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PivotTable!$B$30</c:f>
              <c:strCache>
                <c:ptCount val="1"/>
                <c:pt idx="0">
                  <c:v>Gross Loss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PivotTable!$A$31:$A$35</c:f>
              <c:strCache>
                <c:ptCount val="5"/>
                <c:pt idx="0">
                  <c:v>Water</c:v>
                </c:pt>
                <c:pt idx="1">
                  <c:v>Built-up</c:v>
                </c:pt>
                <c:pt idx="2">
                  <c:v>Agriculture</c:v>
                </c:pt>
                <c:pt idx="3">
                  <c:v>Forest</c:v>
                </c:pt>
                <c:pt idx="4">
                  <c:v>Barren</c:v>
                </c:pt>
              </c:strCache>
            </c:strRef>
          </c:cat>
          <c:val>
            <c:numRef>
              <c:f>PivotTable!$B$31:$B$35</c:f>
              <c:numCache>
                <c:formatCode>0.00</c:formatCode>
                <c:ptCount val="5"/>
                <c:pt idx="0">
                  <c:v>7.1271390199833746</c:v>
                </c:pt>
                <c:pt idx="1">
                  <c:v>4.0196708991976715</c:v>
                </c:pt>
                <c:pt idx="2">
                  <c:v>42.629354657650026</c:v>
                </c:pt>
                <c:pt idx="3">
                  <c:v>3.7410287528473418</c:v>
                </c:pt>
                <c:pt idx="4">
                  <c:v>1.940723261699361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9-4A85-A0F3-40EB6934D31B}"/>
            </c:ext>
          </c:extLst>
        </c:ser>
        <c:ser>
          <c:idx val="1"/>
          <c:order val="1"/>
          <c:tx>
            <c:strRef>
              <c:f>PivotTable!$C$30</c:f>
              <c:strCache>
                <c:ptCount val="1"/>
                <c:pt idx="0">
                  <c:v>Gross Gain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PivotTable!$A$31:$A$35</c:f>
              <c:strCache>
                <c:ptCount val="5"/>
                <c:pt idx="0">
                  <c:v>Water</c:v>
                </c:pt>
                <c:pt idx="1">
                  <c:v>Built-up</c:v>
                </c:pt>
                <c:pt idx="2">
                  <c:v>Agriculture</c:v>
                </c:pt>
                <c:pt idx="3">
                  <c:v>Forest</c:v>
                </c:pt>
                <c:pt idx="4">
                  <c:v>Barren</c:v>
                </c:pt>
              </c:strCache>
            </c:strRef>
          </c:cat>
          <c:val>
            <c:numRef>
              <c:f>PivotTable!$C$31:$C$35</c:f>
              <c:numCache>
                <c:formatCode>0.00</c:formatCode>
                <c:ptCount val="5"/>
                <c:pt idx="0">
                  <c:v>9.9399888279739841</c:v>
                </c:pt>
                <c:pt idx="1">
                  <c:v>8.6861311597948117</c:v>
                </c:pt>
                <c:pt idx="2">
                  <c:v>13.88866056185492</c:v>
                </c:pt>
                <c:pt idx="3">
                  <c:v>25.506685883270197</c:v>
                </c:pt>
                <c:pt idx="4">
                  <c:v>1.4364501584838849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9-4A85-A0F3-40EB6934D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axId val="342034288"/>
        <c:axId val="2077328783"/>
      </c:barChart>
      <c:catAx>
        <c:axId val="34203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28783"/>
        <c:crosses val="autoZero"/>
        <c:auto val="1"/>
        <c:lblAlgn val="ctr"/>
        <c:lblOffset val="100"/>
        <c:noMultiLvlLbl val="0"/>
      </c:catAx>
      <c:valAx>
        <c:axId val="207732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  <a:r>
                  <a:rPr lang="en-US" baseline="0"/>
                  <a:t> Sq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76206</xdr:rowOff>
    </xdr:from>
    <xdr:to>
      <xdr:col>20</xdr:col>
      <xdr:colOff>358140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21C97-3A48-5EEF-CAAC-3215C856C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282388</xdr:colOff>
      <xdr:row>6</xdr:row>
      <xdr:rowOff>161364</xdr:rowOff>
    </xdr:from>
    <xdr:to>
      <xdr:col>16</xdr:col>
      <xdr:colOff>537881</xdr:colOff>
      <xdr:row>26</xdr:row>
      <xdr:rowOff>116541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3413C1-E136-74D7-AA33-767674C8B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65.641878587965" createdVersion="8" refreshedVersion="8" minRefreshableVersion="3" recordCount="24" xr:uid="{06483422-6725-4C3C-A153-B9E4EB3BCD0E}">
  <cacheSource type="worksheet">
    <worksheetSource ref="A1:F25" sheet="LULC_transition_matrix"/>
  </cacheSource>
  <cacheFields count="6">
    <cacheField name="system:index" numFmtId="0">
      <sharedItems containsSemiMixedTypes="0" containsString="0" containsNumber="1" containsInteger="1" minValue="0" maxValue="23"/>
    </cacheField>
    <cacheField name="Area_sqkm" numFmtId="0">
      <sharedItems containsSemiMixedTypes="0" containsString="0" containsNumber="1" minValue="7.4883538289388001E-3" maxValue="142.63267305623199"/>
    </cacheField>
    <cacheField name="From_Class_I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To_Class_I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Transition_Code" numFmtId="0">
      <sharedItems containsSemiMixedTypes="0" containsString="0" containsNumber="1" containsInteger="1" minValue="0" maxValue="44"/>
    </cacheField>
    <cacheField name=".ge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0"/>
    <n v="12.5760225978451"/>
    <x v="0"/>
    <x v="0"/>
    <n v="0"/>
    <s v="{&quot;type&quot;:&quot;MultiPoint&quot;,&quot;coordinates&quot;:[]}"/>
  </r>
  <r>
    <n v="1"/>
    <n v="0.37988592560029799"/>
    <x v="0"/>
    <x v="1"/>
    <n v="1"/>
    <s v="{&quot;type&quot;:&quot;MultiPoint&quot;,&quot;coordinates&quot;:[]}"/>
  </r>
  <r>
    <n v="2"/>
    <n v="6.1964542723302403"/>
    <x v="0"/>
    <x v="2"/>
    <n v="2"/>
    <s v="{&quot;type&quot;:&quot;MultiPoint&quot;,&quot;coordinates&quot;:[]}"/>
  </r>
  <r>
    <n v="3"/>
    <n v="0.18657212567138601"/>
    <x v="0"/>
    <x v="3"/>
    <n v="3"/>
    <s v="{&quot;type&quot;:&quot;MultiPoint&quot;,&quot;coordinates&quot;:[]}"/>
  </r>
  <r>
    <n v="4"/>
    <n v="0.364226696381452"/>
    <x v="0"/>
    <x v="4"/>
    <n v="4"/>
    <s v="{&quot;type&quot;:&quot;MultiPoint&quot;,&quot;coordinates&quot;:[]}"/>
  </r>
  <r>
    <n v="5"/>
    <n v="7.2654494995117197E-2"/>
    <x v="1"/>
    <x v="0"/>
    <n v="10"/>
    <s v="{&quot;type&quot;:&quot;MultiPoint&quot;,&quot;coordinates&quot;:[]}"/>
  </r>
  <r>
    <n v="6"/>
    <n v="7.062401149117"/>
    <x v="1"/>
    <x v="1"/>
    <n v="11"/>
    <s v="{&quot;type&quot;:&quot;MultiPoint&quot;,&quot;coordinates&quot;:[]}"/>
  </r>
  <r>
    <n v="7"/>
    <n v="3.4656618628207201"/>
    <x v="1"/>
    <x v="2"/>
    <n v="12"/>
    <s v="{&quot;type&quot;:&quot;MultiPoint&quot;,&quot;coordinates&quot;:[]}"/>
  </r>
  <r>
    <n v="8"/>
    <n v="3.7969931884765599E-2"/>
    <x v="1"/>
    <x v="3"/>
    <n v="13"/>
    <s v="{&quot;type&quot;:&quot;MultiPoint&quot;,&quot;coordinates&quot;:[]}"/>
  </r>
  <r>
    <n v="9"/>
    <n v="0.44338460949706998"/>
    <x v="1"/>
    <x v="4"/>
    <n v="14"/>
    <s v="{&quot;type&quot;:&quot;MultiPoint&quot;,&quot;coordinates&quot;:[]}"/>
  </r>
  <r>
    <n v="10"/>
    <n v="9.5189233426834594"/>
    <x v="2"/>
    <x v="0"/>
    <n v="20"/>
    <s v="{&quot;type&quot;:&quot;MultiPoint&quot;,&quot;coordinates&quot;:[]}"/>
  </r>
  <r>
    <n v="11"/>
    <n v="7.2069369904761098"/>
    <x v="2"/>
    <x v="1"/>
    <n v="21"/>
    <s v="{&quot;type&quot;:&quot;MultiPoint&quot;,&quot;coordinates&quot;:[]}"/>
  </r>
  <r>
    <n v="12"/>
    <n v="142.63267305623199"/>
    <x v="2"/>
    <x v="2"/>
    <n v="22"/>
    <s v="{&quot;type&quot;:&quot;MultiPoint&quot;,&quot;coordinates&quot;:[]}"/>
  </r>
  <r>
    <n v="13"/>
    <n v="25.274655471885101"/>
    <x v="2"/>
    <x v="3"/>
    <n v="23"/>
    <s v="{&quot;type&quot;:&quot;MultiPoint&quot;,&quot;coordinates&quot;:[]}"/>
  </r>
  <r>
    <n v="14"/>
    <n v="0.62883885260536299"/>
    <x v="2"/>
    <x v="4"/>
    <n v="24"/>
    <s v="{&quot;type&quot;:&quot;MultiPoint&quot;,&quot;coordinates&quot;:[]}"/>
  </r>
  <r>
    <n v="15"/>
    <n v="4.45841667480468E-2"/>
    <x v="3"/>
    <x v="0"/>
    <n v="30"/>
    <s v="{&quot;type&quot;:&quot;MultiPoint&quot;,&quot;coordinates&quot;:[]}"/>
  </r>
  <r>
    <n v="16"/>
    <n v="3.4551594866584302E-2"/>
    <x v="3"/>
    <x v="1"/>
    <n v="31"/>
    <s v="{&quot;type&quot;:&quot;MultiPoint&quot;,&quot;coordinates&quot;:[]}"/>
  </r>
  <r>
    <n v="17"/>
    <n v="3.6618929912327101"/>
    <x v="3"/>
    <x v="2"/>
    <n v="32"/>
    <s v="{&quot;type&quot;:&quot;MultiPoint&quot;,&quot;coordinates&quot;:[]}"/>
  </r>
  <r>
    <n v="18"/>
    <n v="16.174031865760899"/>
    <x v="3"/>
    <x v="3"/>
    <n v="33"/>
    <s v="{&quot;type&quot;:&quot;MultiPoint&quot;,&quot;coordinates&quot;:[]}"/>
  </r>
  <r>
    <n v="19"/>
    <n v="0.30382682354736301"/>
    <x v="4"/>
    <x v="0"/>
    <n v="40"/>
    <s v="{&quot;type&quot;:&quot;MultiPoint&quot;,&quot;coordinates&quot;:[]}"/>
  </r>
  <r>
    <n v="20"/>
    <n v="1.0647566488518201"/>
    <x v="4"/>
    <x v="1"/>
    <n v="41"/>
    <s v="{&quot;type&quot;:&quot;MultiPoint&quot;,&quot;coordinates&quot;:[]}"/>
  </r>
  <r>
    <n v="21"/>
    <n v="0.56465143547123897"/>
    <x v="4"/>
    <x v="2"/>
    <n v="42"/>
    <s v="{&quot;type&quot;:&quot;MultiPoint&quot;,&quot;coordinates&quot;:[]}"/>
  </r>
  <r>
    <n v="22"/>
    <n v="7.4883538289388001E-3"/>
    <x v="4"/>
    <x v="3"/>
    <n v="43"/>
    <s v="{&quot;type&quot;:&quot;MultiPoint&quot;,&quot;coordinates&quot;:[]}"/>
  </r>
  <r>
    <n v="23"/>
    <n v="0.83761648220214902"/>
    <x v="4"/>
    <x v="4"/>
    <n v="44"/>
    <s v="{&quot;type&quot;:&quot;MultiPoint&quot;,&quot;coordinates&quot;:[]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AFC0D-67CA-47AD-8E9E-9370A054064C}" name="PivotTable2" cacheId="1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From(2000) to (2025)">
  <location ref="A4:G11" firstHeaderRow="1" firstDataRow="2" firstDataCol="1"/>
  <pivotFields count="6">
    <pivotField showAll="0"/>
    <pivotField dataField="1" showAll="0"/>
    <pivotField axis="axisRow" showAll="0">
      <items count="6">
        <item n="Water" x="0"/>
        <item n="Built-up" x="1"/>
        <item n="Agriculture" x="2"/>
        <item n="Forest" x="3"/>
        <item n="Barren" x="4"/>
        <item t="default"/>
      </items>
    </pivotField>
    <pivotField axis="axisCol" showAll="0">
      <items count="6">
        <item n="water" x="0"/>
        <item n="built-up" x="1"/>
        <item n="Agriculture" x="2"/>
        <item n="Forest" x="3"/>
        <item n="Barren" x="4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rea_sqkm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E60B8-9717-4655-8EF6-488A00AD5BB5}" name="Table1" displayName="Table1" ref="A3:F4" totalsRowShown="0">
  <autoFilter ref="A3:F4" xr:uid="{378E60B8-9717-4655-8EF6-488A00AD5BB5}"/>
  <tableColumns count="6">
    <tableColumn id="1" xr3:uid="{BB3EECB5-C6B8-41C2-A788-A1735C683742}" name="system:index"/>
    <tableColumn id="2" xr3:uid="{B4DE1EA7-3D6F-4EF9-8F3B-0EB72BF63AAC}" name="Area_sqkm"/>
    <tableColumn id="3" xr3:uid="{9417F907-AA32-425F-AF15-1AB54295F827}" name="From_Class_ID"/>
    <tableColumn id="4" xr3:uid="{3D2DC745-9A1C-4BCE-A249-822D3CA33B2F}" name="To_Class_ID"/>
    <tableColumn id="5" xr3:uid="{3BC3F6C7-E422-48D3-BAF9-A181EBAFDDD8}" name="Transition_Code"/>
    <tableColumn id="6" xr3:uid="{3FEDBF6C-F409-4E7D-B7EB-7C06B3267574}" name=".g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2DAD-3363-45A0-BBBC-8BB53566A221}">
  <dimension ref="A1:D21"/>
  <sheetViews>
    <sheetView workbookViewId="0">
      <selection activeCell="A25" sqref="A25"/>
    </sheetView>
  </sheetViews>
  <sheetFormatPr defaultRowHeight="14.4" x14ac:dyDescent="0.3"/>
  <cols>
    <col min="1" max="1" width="29" customWidth="1"/>
    <col min="2" max="2" width="94.5546875" customWidth="1"/>
    <col min="3" max="3" width="28" customWidth="1"/>
    <col min="4" max="4" width="37" customWidth="1"/>
  </cols>
  <sheetData>
    <row r="1" spans="1:4" ht="18" x14ac:dyDescent="0.35">
      <c r="A1" s="5" t="s">
        <v>26</v>
      </c>
    </row>
    <row r="2" spans="1:4" x14ac:dyDescent="0.3">
      <c r="A2" s="6" t="s">
        <v>27</v>
      </c>
    </row>
    <row r="4" spans="1:4" x14ac:dyDescent="0.3">
      <c r="A4" s="7" t="s">
        <v>28</v>
      </c>
      <c r="B4" s="7" t="s">
        <v>29</v>
      </c>
    </row>
    <row r="5" spans="1:4" x14ac:dyDescent="0.3">
      <c r="A5" s="8" t="s">
        <v>30</v>
      </c>
      <c r="B5" s="9" t="s">
        <v>31</v>
      </c>
    </row>
    <row r="6" spans="1:4" x14ac:dyDescent="0.3">
      <c r="A6" s="8" t="s">
        <v>32</v>
      </c>
      <c r="B6" s="9" t="s">
        <v>33</v>
      </c>
    </row>
    <row r="7" spans="1:4" x14ac:dyDescent="0.3">
      <c r="A7" s="8" t="s">
        <v>34</v>
      </c>
      <c r="B7" s="9" t="s">
        <v>35</v>
      </c>
    </row>
    <row r="8" spans="1:4" x14ac:dyDescent="0.3">
      <c r="A8" s="8" t="s">
        <v>36</v>
      </c>
      <c r="B8" s="9" t="s">
        <v>37</v>
      </c>
    </row>
    <row r="9" spans="1:4" x14ac:dyDescent="0.3">
      <c r="A9" s="8" t="s">
        <v>38</v>
      </c>
      <c r="B9" s="9" t="s">
        <v>39</v>
      </c>
    </row>
    <row r="10" spans="1:4" x14ac:dyDescent="0.3">
      <c r="A10" s="8" t="s">
        <v>40</v>
      </c>
      <c r="B10" s="9" t="s">
        <v>41</v>
      </c>
    </row>
    <row r="11" spans="1:4" x14ac:dyDescent="0.3">
      <c r="A11" s="8" t="s">
        <v>42</v>
      </c>
      <c r="B11" s="9" t="s">
        <v>43</v>
      </c>
    </row>
    <row r="12" spans="1:4" x14ac:dyDescent="0.3">
      <c r="A12" s="8" t="s">
        <v>44</v>
      </c>
      <c r="B12" s="10">
        <v>0.84179999999999999</v>
      </c>
    </row>
    <row r="13" spans="1:4" x14ac:dyDescent="0.3">
      <c r="A13" s="8" t="s">
        <v>45</v>
      </c>
      <c r="B13" s="9">
        <v>0.79800000000000004</v>
      </c>
    </row>
    <row r="16" spans="1:4" x14ac:dyDescent="0.3">
      <c r="A16" s="11" t="s">
        <v>46</v>
      </c>
      <c r="B16" s="11" t="s">
        <v>11</v>
      </c>
      <c r="C16" s="11" t="s">
        <v>47</v>
      </c>
      <c r="D16" s="11" t="s">
        <v>48</v>
      </c>
    </row>
    <row r="17" spans="1:4" x14ac:dyDescent="0.3">
      <c r="A17" s="12">
        <v>0</v>
      </c>
      <c r="B17" s="12" t="s">
        <v>19</v>
      </c>
      <c r="C17" s="13">
        <v>0.93740000000000001</v>
      </c>
      <c r="D17" s="13">
        <v>0.91690000000000005</v>
      </c>
    </row>
    <row r="18" spans="1:4" x14ac:dyDescent="0.3">
      <c r="A18" s="12">
        <v>1</v>
      </c>
      <c r="B18" s="12" t="s">
        <v>20</v>
      </c>
      <c r="C18" s="13">
        <v>0.81930000000000003</v>
      </c>
      <c r="D18" s="13">
        <v>0.86129999999999995</v>
      </c>
    </row>
    <row r="19" spans="1:4" x14ac:dyDescent="0.3">
      <c r="A19" s="12">
        <v>2</v>
      </c>
      <c r="B19" s="12" t="s">
        <v>21</v>
      </c>
      <c r="C19" s="13">
        <v>0.9617</v>
      </c>
      <c r="D19" s="13">
        <v>0.69099999999999995</v>
      </c>
    </row>
    <row r="20" spans="1:4" x14ac:dyDescent="0.3">
      <c r="A20" s="12">
        <v>3</v>
      </c>
      <c r="B20" s="12" t="s">
        <v>49</v>
      </c>
      <c r="C20" s="13">
        <v>0.83240000000000003</v>
      </c>
      <c r="D20" s="13">
        <v>0.99260000000000004</v>
      </c>
    </row>
    <row r="21" spans="1:4" x14ac:dyDescent="0.3">
      <c r="A21" s="12">
        <v>4</v>
      </c>
      <c r="B21" s="12" t="s">
        <v>50</v>
      </c>
      <c r="C21" s="13">
        <v>0.57040000000000002</v>
      </c>
      <c r="D21" s="13">
        <v>0.86119999999999997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4395-4CFA-41EC-8A0C-9BF36C1CB18E}">
  <dimension ref="A5:J21"/>
  <sheetViews>
    <sheetView tabSelected="1" workbookViewId="0">
      <selection activeCell="I22" sqref="I22"/>
    </sheetView>
  </sheetViews>
  <sheetFormatPr defaultRowHeight="14.4" x14ac:dyDescent="0.3"/>
  <cols>
    <col min="1" max="1" width="7.33203125" bestFit="1" customWidth="1"/>
    <col min="2" max="2" width="14" bestFit="1" customWidth="1"/>
    <col min="3" max="3" width="11.77734375" bestFit="1" customWidth="1"/>
    <col min="4" max="4" width="8.21875" bestFit="1" customWidth="1"/>
    <col min="5" max="5" width="11.77734375" bestFit="1" customWidth="1"/>
    <col min="6" max="6" width="8.21875" bestFit="1" customWidth="1"/>
    <col min="7" max="7" width="11.77734375" bestFit="1" customWidth="1"/>
    <col min="8" max="8" width="8.21875" bestFit="1" customWidth="1"/>
    <col min="9" max="9" width="11.77734375" bestFit="1" customWidth="1"/>
    <col min="10" max="10" width="8.21875" bestFit="1" customWidth="1"/>
  </cols>
  <sheetData>
    <row r="5" spans="1:10" x14ac:dyDescent="0.3">
      <c r="A5" s="29" t="s">
        <v>46</v>
      </c>
      <c r="B5" s="29" t="s">
        <v>66</v>
      </c>
      <c r="C5" s="29" t="s">
        <v>67</v>
      </c>
      <c r="D5" s="29" t="s">
        <v>68</v>
      </c>
      <c r="E5" s="29" t="s">
        <v>69</v>
      </c>
      <c r="F5" s="29" t="s">
        <v>70</v>
      </c>
      <c r="G5" s="29" t="s">
        <v>71</v>
      </c>
      <c r="H5" s="29" t="s">
        <v>72</v>
      </c>
      <c r="I5" s="29" t="s">
        <v>73</v>
      </c>
      <c r="J5" s="29" t="s">
        <v>74</v>
      </c>
    </row>
    <row r="6" spans="1:10" x14ac:dyDescent="0.3">
      <c r="A6" s="30">
        <v>0</v>
      </c>
      <c r="B6" s="30" t="s">
        <v>19</v>
      </c>
      <c r="C6" s="31">
        <v>19.703161999999999</v>
      </c>
      <c r="D6" s="32">
        <v>8.2529560883935211</v>
      </c>
      <c r="E6" s="31">
        <v>40.599750999999998</v>
      </c>
      <c r="F6" s="32">
        <v>17.005796440323181</v>
      </c>
      <c r="G6" s="31">
        <v>27.163626000000001</v>
      </c>
      <c r="H6" s="32">
        <v>11.377879985940559</v>
      </c>
      <c r="I6" s="31">
        <v>22.516010999999999</v>
      </c>
      <c r="J6" s="32">
        <v>9.43115881952275</v>
      </c>
    </row>
    <row r="7" spans="1:10" x14ac:dyDescent="0.3">
      <c r="A7" s="30">
        <v>1</v>
      </c>
      <c r="B7" s="30" t="s">
        <v>20</v>
      </c>
      <c r="C7" s="31">
        <v>11.082072</v>
      </c>
      <c r="D7" s="32">
        <v>4.6418871034210341</v>
      </c>
      <c r="E7" s="31">
        <v>11.572079</v>
      </c>
      <c r="F7" s="32">
        <v>4.8471336650645629</v>
      </c>
      <c r="G7" s="31">
        <v>16.786850999999999</v>
      </c>
      <c r="H7" s="32">
        <v>7.031416793172836</v>
      </c>
      <c r="I7" s="31">
        <v>15.748532000000001</v>
      </c>
      <c r="J7" s="32">
        <v>6.5965017722871204</v>
      </c>
    </row>
    <row r="8" spans="1:10" x14ac:dyDescent="0.3">
      <c r="A8" s="30">
        <v>2</v>
      </c>
      <c r="B8" s="30" t="s">
        <v>21</v>
      </c>
      <c r="C8" s="31">
        <v>185.26202799999999</v>
      </c>
      <c r="D8" s="32">
        <v>77.59969602496956</v>
      </c>
      <c r="E8" s="31">
        <v>180.751329</v>
      </c>
      <c r="F8" s="32">
        <v>75.710324117305163</v>
      </c>
      <c r="G8" s="31">
        <v>157.779798</v>
      </c>
      <c r="H8" s="32">
        <v>66.088364117881198</v>
      </c>
      <c r="I8" s="31">
        <v>156.521334</v>
      </c>
      <c r="J8" s="32">
        <v>65.561238160594527</v>
      </c>
    </row>
    <row r="9" spans="1:10" x14ac:dyDescent="0.3">
      <c r="A9" s="30">
        <v>3</v>
      </c>
      <c r="B9" s="30" t="s">
        <v>22</v>
      </c>
      <c r="C9" s="31">
        <v>19.915061000000001</v>
      </c>
      <c r="D9" s="32">
        <v>8.3417130677136182</v>
      </c>
      <c r="E9" s="31">
        <v>1.286897</v>
      </c>
      <c r="F9" s="32">
        <v>0.53903553304212581</v>
      </c>
      <c r="G9" s="31">
        <v>34.192284000000001</v>
      </c>
      <c r="H9" s="32">
        <v>14.32193565752951</v>
      </c>
      <c r="I9" s="31">
        <v>41.680717999999999</v>
      </c>
      <c r="J9" s="32">
        <v>17.458575196545279</v>
      </c>
    </row>
    <row r="10" spans="1:10" x14ac:dyDescent="0.3">
      <c r="A10" s="30">
        <v>4</v>
      </c>
      <c r="B10" s="30" t="s">
        <v>50</v>
      </c>
      <c r="C10" s="31">
        <v>2.77834</v>
      </c>
      <c r="D10" s="32">
        <v>1.1637481343668219</v>
      </c>
      <c r="E10" s="31">
        <v>4.5306050000000004</v>
      </c>
      <c r="F10" s="32">
        <v>1.897709825400417</v>
      </c>
      <c r="G10" s="31">
        <v>2.8181029999999998</v>
      </c>
      <c r="H10" s="32">
        <v>1.1804034454759109</v>
      </c>
      <c r="I10" s="31">
        <v>2.2740670000000001</v>
      </c>
      <c r="J10" s="32">
        <v>0.9525260510503234</v>
      </c>
    </row>
    <row r="11" spans="1:10" ht="15" thickBot="1" x14ac:dyDescent="0.35">
      <c r="A11" s="33" t="s">
        <v>75</v>
      </c>
      <c r="B11" s="33" t="s">
        <v>76</v>
      </c>
      <c r="C11" s="34">
        <v>238.74066199999999</v>
      </c>
      <c r="D11" s="35">
        <v>100</v>
      </c>
      <c r="E11" s="34">
        <v>238.74066199999999</v>
      </c>
      <c r="F11" s="35">
        <v>100</v>
      </c>
      <c r="G11" s="34">
        <v>238.74066199999999</v>
      </c>
      <c r="H11" s="35">
        <v>100</v>
      </c>
      <c r="I11" s="34">
        <v>238.74066199999999</v>
      </c>
      <c r="J11" s="35">
        <v>100</v>
      </c>
    </row>
    <row r="16" spans="1:10" x14ac:dyDescent="0.3">
      <c r="B16" s="29" t="s">
        <v>66</v>
      </c>
      <c r="C16" s="29" t="s">
        <v>67</v>
      </c>
      <c r="D16" s="29" t="s">
        <v>69</v>
      </c>
      <c r="E16" s="29" t="s">
        <v>71</v>
      </c>
      <c r="F16" s="29" t="s">
        <v>73</v>
      </c>
    </row>
    <row r="17" spans="2:6" x14ac:dyDescent="0.3">
      <c r="B17" s="30" t="s">
        <v>19</v>
      </c>
      <c r="C17" s="31">
        <v>19.703161999999999</v>
      </c>
      <c r="D17" s="31">
        <v>40.599750999999998</v>
      </c>
      <c r="E17" s="31">
        <v>27.163626000000001</v>
      </c>
      <c r="F17" s="31">
        <v>22.516010999999999</v>
      </c>
    </row>
    <row r="18" spans="2:6" x14ac:dyDescent="0.3">
      <c r="B18" s="30" t="s">
        <v>20</v>
      </c>
      <c r="C18" s="31">
        <v>11.082072</v>
      </c>
      <c r="D18" s="31">
        <v>11.572079</v>
      </c>
      <c r="E18" s="31">
        <v>16.786850999999999</v>
      </c>
      <c r="F18" s="31">
        <v>15.748532000000001</v>
      </c>
    </row>
    <row r="19" spans="2:6" x14ac:dyDescent="0.3">
      <c r="B19" s="30" t="s">
        <v>21</v>
      </c>
      <c r="C19" s="31">
        <v>185.26202799999999</v>
      </c>
      <c r="D19" s="31">
        <v>180.751329</v>
      </c>
      <c r="E19" s="31">
        <v>157.779798</v>
      </c>
      <c r="F19" s="31">
        <v>156.521334</v>
      </c>
    </row>
    <row r="20" spans="2:6" x14ac:dyDescent="0.3">
      <c r="B20" s="30" t="s">
        <v>22</v>
      </c>
      <c r="C20" s="31">
        <v>19.915061000000001</v>
      </c>
      <c r="D20" s="31">
        <v>1.286897</v>
      </c>
      <c r="E20" s="31">
        <v>34.192284000000001</v>
      </c>
      <c r="F20" s="31">
        <v>41.680717999999999</v>
      </c>
    </row>
    <row r="21" spans="2:6" x14ac:dyDescent="0.3">
      <c r="B21" s="30" t="s">
        <v>50</v>
      </c>
      <c r="C21" s="31">
        <v>2.77834</v>
      </c>
      <c r="D21" s="31">
        <v>4.5306050000000004</v>
      </c>
      <c r="E21" s="31">
        <v>2.8181029999999998</v>
      </c>
      <c r="F21" s="31">
        <v>2.2740670000000001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E5C9-35A2-4E04-8508-E4C17F817B1F}">
  <dimension ref="A3:H12"/>
  <sheetViews>
    <sheetView workbookViewId="0">
      <selection activeCell="H16" sqref="H16"/>
    </sheetView>
  </sheetViews>
  <sheetFormatPr defaultRowHeight="14.4" x14ac:dyDescent="0.3"/>
  <cols>
    <col min="1" max="1" width="21" bestFit="1" customWidth="1"/>
    <col min="2" max="3" width="12" bestFit="1" customWidth="1"/>
    <col min="4" max="4" width="13.109375" bestFit="1" customWidth="1"/>
    <col min="5" max="6" width="12" bestFit="1" customWidth="1"/>
    <col min="7" max="7" width="16.5546875" bestFit="1" customWidth="1"/>
    <col min="8" max="8" width="13.5546875" bestFit="1" customWidth="1"/>
  </cols>
  <sheetData>
    <row r="3" spans="1:8" s="25" customFormat="1" ht="28.8" x14ac:dyDescent="0.55000000000000004">
      <c r="A3" s="25" t="s">
        <v>63</v>
      </c>
    </row>
    <row r="5" spans="1:8" x14ac:dyDescent="0.3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4" t="s">
        <v>60</v>
      </c>
    </row>
    <row r="6" spans="1:8" x14ac:dyDescent="0.3">
      <c r="A6" s="15" t="s">
        <v>54</v>
      </c>
      <c r="B6" s="19">
        <v>12.5760225978451</v>
      </c>
      <c r="C6" s="3">
        <v>0.37988592560029799</v>
      </c>
      <c r="D6" s="3">
        <v>6.1964542723302403</v>
      </c>
      <c r="E6" s="3">
        <v>0.18657212567138601</v>
      </c>
      <c r="F6" s="3">
        <v>0.364226696381452</v>
      </c>
      <c r="G6" s="22">
        <v>19.703161617828474</v>
      </c>
      <c r="H6" s="24">
        <f>G6/$G11</f>
        <v>8.252955937215653E-2</v>
      </c>
    </row>
    <row r="7" spans="1:8" x14ac:dyDescent="0.3">
      <c r="A7" s="15" t="s">
        <v>55</v>
      </c>
      <c r="B7" s="3">
        <v>7.2654494995117197E-2</v>
      </c>
      <c r="C7" s="18">
        <v>7.062401149117</v>
      </c>
      <c r="D7" s="3">
        <v>3.4656618628207201</v>
      </c>
      <c r="E7" s="3">
        <v>3.7969931884765599E-2</v>
      </c>
      <c r="F7" s="3">
        <v>0.44338460949706998</v>
      </c>
      <c r="G7" s="22">
        <v>11.082072048314672</v>
      </c>
      <c r="H7" s="24">
        <f>G7/$G11</f>
        <v>4.641887128664287E-2</v>
      </c>
    </row>
    <row r="8" spans="1:8" x14ac:dyDescent="0.3">
      <c r="A8" s="15" t="s">
        <v>56</v>
      </c>
      <c r="B8" s="3">
        <v>9.5189233426834594</v>
      </c>
      <c r="C8" s="3">
        <v>7.2069369904761098</v>
      </c>
      <c r="D8" s="18">
        <v>142.63267305623199</v>
      </c>
      <c r="E8" s="3">
        <v>25.274655471885101</v>
      </c>
      <c r="F8" s="3">
        <v>0.62883885260536299</v>
      </c>
      <c r="G8" s="22">
        <v>185.26202771388202</v>
      </c>
      <c r="H8" s="24">
        <f>G8/G11</f>
        <v>0.77599695988810713</v>
      </c>
    </row>
    <row r="9" spans="1:8" x14ac:dyDescent="0.3">
      <c r="A9" s="15" t="s">
        <v>57</v>
      </c>
      <c r="B9" s="3">
        <v>4.45841667480468E-2</v>
      </c>
      <c r="C9" s="3">
        <v>3.4551594866584302E-2</v>
      </c>
      <c r="D9" s="3">
        <v>3.6618929912327101</v>
      </c>
      <c r="E9" s="18">
        <v>16.174031865760899</v>
      </c>
      <c r="F9" s="17">
        <v>0</v>
      </c>
      <c r="G9" s="22">
        <v>19.915060618608241</v>
      </c>
      <c r="H9" s="24">
        <f>G9/$G11</f>
        <v>8.3417129169580842E-2</v>
      </c>
    </row>
    <row r="10" spans="1:8" x14ac:dyDescent="0.3">
      <c r="A10" s="15" t="s">
        <v>58</v>
      </c>
      <c r="B10" s="3">
        <v>0.30382682354736301</v>
      </c>
      <c r="C10" s="3">
        <v>1.0647566488518201</v>
      </c>
      <c r="D10" s="3">
        <v>0.56465143547123897</v>
      </c>
      <c r="E10" s="3">
        <v>7.4883538289388001E-3</v>
      </c>
      <c r="F10" s="18">
        <v>0.83761648220214902</v>
      </c>
      <c r="G10" s="22">
        <v>2.7783397439015101</v>
      </c>
      <c r="H10" s="24">
        <f>G10/$G11</f>
        <v>1.1637480283512639E-2</v>
      </c>
    </row>
    <row r="11" spans="1:8" ht="15" thickBot="1" x14ac:dyDescent="0.35">
      <c r="A11" s="16" t="s">
        <v>61</v>
      </c>
      <c r="B11" s="20">
        <v>22.516011425819084</v>
      </c>
      <c r="C11" s="20">
        <v>15.748532308911813</v>
      </c>
      <c r="D11" s="20">
        <v>156.52133361808691</v>
      </c>
      <c r="E11" s="20">
        <v>41.680717749031096</v>
      </c>
      <c r="F11" s="21">
        <v>2.2740666406860339</v>
      </c>
      <c r="G11" s="20">
        <v>238.74066174253491</v>
      </c>
      <c r="H11" s="28">
        <f>G11/$G11</f>
        <v>1</v>
      </c>
    </row>
    <row r="12" spans="1:8" ht="15" thickTop="1" x14ac:dyDescent="0.3">
      <c r="A12" s="15" t="s">
        <v>62</v>
      </c>
      <c r="B12" s="24">
        <f>B11/$G11</f>
        <v>9.4311590080541144E-2</v>
      </c>
      <c r="C12" s="24">
        <f t="shared" ref="C12:G12" si="0">C11/$G11</f>
        <v>6.5965019087931911E-2</v>
      </c>
      <c r="D12" s="24">
        <f t="shared" si="0"/>
        <v>0.65561238071327876</v>
      </c>
      <c r="E12" s="24">
        <f t="shared" si="0"/>
        <v>0.17458575110251154</v>
      </c>
      <c r="F12" s="24">
        <f t="shared" si="0"/>
        <v>9.5252590157367308E-3</v>
      </c>
      <c r="G12" s="24">
        <f t="shared" si="0"/>
        <v>1</v>
      </c>
      <c r="H12" s="23"/>
    </row>
  </sheetData>
  <mergeCells count="1">
    <mergeCell ref="A3:XF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B7A5-DE9F-4D93-9166-E6EAE87E5A29}">
  <dimension ref="A1:F3"/>
  <sheetViews>
    <sheetView workbookViewId="0">
      <selection activeCell="A3" sqref="A3:F4"/>
    </sheetView>
  </sheetViews>
  <sheetFormatPr defaultRowHeight="14.4" x14ac:dyDescent="0.3"/>
  <cols>
    <col min="1" max="1" width="14.21875" bestFit="1" customWidth="1"/>
    <col min="2" max="2" width="12.6640625" bestFit="1" customWidth="1"/>
    <col min="3" max="3" width="15.5546875" bestFit="1" customWidth="1"/>
    <col min="4" max="4" width="13.21875" bestFit="1" customWidth="1"/>
    <col min="5" max="5" width="17" bestFit="1" customWidth="1"/>
    <col min="6" max="6" width="9" bestFit="1" customWidth="1"/>
  </cols>
  <sheetData>
    <row r="1" spans="1:6" x14ac:dyDescent="0.3">
      <c r="A1" s="4" t="s">
        <v>25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9C98-2983-43C6-811D-F3F9296908CD}">
  <dimension ref="A4:H35"/>
  <sheetViews>
    <sheetView topLeftCell="A4" zoomScale="85" zoomScaleNormal="85" workbookViewId="0">
      <selection activeCell="Q28" sqref="Q28"/>
    </sheetView>
  </sheetViews>
  <sheetFormatPr defaultRowHeight="14.4" x14ac:dyDescent="0.3"/>
  <cols>
    <col min="1" max="1" width="17" bestFit="1" customWidth="1"/>
    <col min="2" max="2" width="15.5546875" bestFit="1" customWidth="1"/>
    <col min="3" max="7" width="12" bestFit="1" customWidth="1"/>
  </cols>
  <sheetData>
    <row r="4" spans="1:7" x14ac:dyDescent="0.3">
      <c r="A4" s="1" t="s">
        <v>9</v>
      </c>
      <c r="B4" s="1" t="s">
        <v>8</v>
      </c>
    </row>
    <row r="5" spans="1:7" x14ac:dyDescent="0.3">
      <c r="A5" s="1" t="s">
        <v>51</v>
      </c>
      <c r="B5" t="s">
        <v>10</v>
      </c>
      <c r="C5" t="s">
        <v>24</v>
      </c>
      <c r="D5" t="s">
        <v>21</v>
      </c>
      <c r="E5" t="s">
        <v>22</v>
      </c>
      <c r="F5" t="s">
        <v>23</v>
      </c>
      <c r="G5" t="s">
        <v>7</v>
      </c>
    </row>
    <row r="6" spans="1:7" x14ac:dyDescent="0.3">
      <c r="A6" s="2" t="s">
        <v>19</v>
      </c>
      <c r="B6" s="3">
        <v>12.5760225978451</v>
      </c>
      <c r="C6" s="3">
        <v>0.37988592560029799</v>
      </c>
      <c r="D6" s="3">
        <v>6.1964542723302403</v>
      </c>
      <c r="E6" s="3">
        <v>0.18657212567138601</v>
      </c>
      <c r="F6" s="3">
        <v>0.364226696381452</v>
      </c>
      <c r="G6" s="3">
        <v>19.703161617828474</v>
      </c>
    </row>
    <row r="7" spans="1:7" x14ac:dyDescent="0.3">
      <c r="A7" s="2" t="s">
        <v>20</v>
      </c>
      <c r="B7" s="3">
        <v>7.2654494995117197E-2</v>
      </c>
      <c r="C7" s="3">
        <v>7.062401149117</v>
      </c>
      <c r="D7" s="3">
        <v>3.4656618628207201</v>
      </c>
      <c r="E7" s="3">
        <v>3.7969931884765599E-2</v>
      </c>
      <c r="F7" s="3">
        <v>0.44338460949706998</v>
      </c>
      <c r="G7" s="3">
        <v>11.082072048314672</v>
      </c>
    </row>
    <row r="8" spans="1:7" x14ac:dyDescent="0.3">
      <c r="A8" s="2" t="s">
        <v>21</v>
      </c>
      <c r="B8" s="3">
        <v>9.5189233426834594</v>
      </c>
      <c r="C8" s="3">
        <v>7.2069369904761098</v>
      </c>
      <c r="D8" s="3">
        <v>142.63267305623199</v>
      </c>
      <c r="E8" s="3">
        <v>25.274655471885101</v>
      </c>
      <c r="F8" s="3">
        <v>0.62883885260536299</v>
      </c>
      <c r="G8" s="3">
        <v>185.26202771388202</v>
      </c>
    </row>
    <row r="9" spans="1:7" x14ac:dyDescent="0.3">
      <c r="A9" s="2" t="s">
        <v>22</v>
      </c>
      <c r="B9" s="3">
        <v>4.45841667480468E-2</v>
      </c>
      <c r="C9" s="3">
        <v>3.4551594866584302E-2</v>
      </c>
      <c r="D9" s="3">
        <v>3.6618929912327101</v>
      </c>
      <c r="E9" s="3">
        <v>16.174031865760899</v>
      </c>
      <c r="F9" s="3"/>
      <c r="G9" s="3">
        <v>19.915060618608241</v>
      </c>
    </row>
    <row r="10" spans="1:7" x14ac:dyDescent="0.3">
      <c r="A10" s="2" t="s">
        <v>23</v>
      </c>
      <c r="B10" s="3">
        <v>0.30382682354736301</v>
      </c>
      <c r="C10" s="3">
        <v>1.0647566488518201</v>
      </c>
      <c r="D10" s="3">
        <v>0.56465143547123897</v>
      </c>
      <c r="E10" s="3">
        <v>7.4883538289388001E-3</v>
      </c>
      <c r="F10" s="3">
        <v>0.83761648220214902</v>
      </c>
      <c r="G10" s="3">
        <v>2.7783397439015101</v>
      </c>
    </row>
    <row r="11" spans="1:7" x14ac:dyDescent="0.3">
      <c r="A11" s="2" t="s">
        <v>7</v>
      </c>
      <c r="B11" s="3">
        <v>22.516011425819084</v>
      </c>
      <c r="C11" s="3">
        <v>15.748532308911813</v>
      </c>
      <c r="D11" s="3">
        <v>156.52133361808691</v>
      </c>
      <c r="E11" s="3">
        <v>41.680717749031096</v>
      </c>
      <c r="F11" s="3">
        <v>2.2740666406860339</v>
      </c>
      <c r="G11" s="3">
        <v>238.74066174253491</v>
      </c>
    </row>
    <row r="20" spans="1:8" x14ac:dyDescent="0.3">
      <c r="A20" s="26" t="s">
        <v>52</v>
      </c>
      <c r="B20" s="26" t="s">
        <v>12</v>
      </c>
      <c r="C20" s="26" t="s">
        <v>13</v>
      </c>
      <c r="D20" s="26" t="s">
        <v>14</v>
      </c>
      <c r="E20" s="26" t="s">
        <v>15</v>
      </c>
      <c r="F20" s="26" t="s">
        <v>16</v>
      </c>
      <c r="G20" s="26" t="s">
        <v>17</v>
      </c>
      <c r="H20" s="26" t="s">
        <v>18</v>
      </c>
    </row>
    <row r="21" spans="1:8" x14ac:dyDescent="0.3">
      <c r="A21" s="4" t="s">
        <v>19</v>
      </c>
      <c r="B21" s="3">
        <v>19.703161617828474</v>
      </c>
      <c r="C21">
        <v>22.516011425819084</v>
      </c>
      <c r="D21" s="3">
        <v>12.5760225978451</v>
      </c>
      <c r="E21">
        <f>B21-D21</f>
        <v>7.1271390199833746</v>
      </c>
      <c r="F21">
        <f>C21-D21</f>
        <v>9.9399888279739841</v>
      </c>
      <c r="G21">
        <f>F21-E21</f>
        <v>2.8128498079906095</v>
      </c>
      <c r="H21">
        <f>(G21/B21)*100</f>
        <v>14.276134269971132</v>
      </c>
    </row>
    <row r="22" spans="1:8" x14ac:dyDescent="0.3">
      <c r="A22" s="4" t="s">
        <v>20</v>
      </c>
      <c r="B22" s="3">
        <v>11.082072048314672</v>
      </c>
      <c r="C22">
        <v>15.748532308911813</v>
      </c>
      <c r="D22" s="3">
        <v>7.062401149117</v>
      </c>
      <c r="E22">
        <f t="shared" ref="E22:E25" si="0">B22-D22</f>
        <v>4.0196708991976715</v>
      </c>
      <c r="F22">
        <f t="shared" ref="F22:F25" si="1">C22-D22</f>
        <v>8.6861311597948117</v>
      </c>
      <c r="G22">
        <f t="shared" ref="G22:G25" si="2">F22-E22</f>
        <v>4.6664602605971401</v>
      </c>
      <c r="H22">
        <f t="shared" ref="H22:H25" si="3">(G22/B22)*100</f>
        <v>42.108192766232747</v>
      </c>
    </row>
    <row r="23" spans="1:8" x14ac:dyDescent="0.3">
      <c r="A23" s="4" t="s">
        <v>21</v>
      </c>
      <c r="B23" s="3">
        <v>185.26202771388202</v>
      </c>
      <c r="C23">
        <v>156.52133361808691</v>
      </c>
      <c r="D23" s="3">
        <v>142.63267305623199</v>
      </c>
      <c r="E23">
        <f t="shared" si="0"/>
        <v>42.629354657650026</v>
      </c>
      <c r="F23">
        <f t="shared" si="1"/>
        <v>13.88866056185492</v>
      </c>
      <c r="G23">
        <f t="shared" si="2"/>
        <v>-28.740694095795106</v>
      </c>
      <c r="H23">
        <f t="shared" si="3"/>
        <v>-15.513537474706974</v>
      </c>
    </row>
    <row r="24" spans="1:8" x14ac:dyDescent="0.3">
      <c r="A24" s="4" t="s">
        <v>22</v>
      </c>
      <c r="B24" s="3">
        <v>19.915060618608241</v>
      </c>
      <c r="C24">
        <v>41.680717749031096</v>
      </c>
      <c r="D24" s="3">
        <v>16.174031865760899</v>
      </c>
      <c r="E24">
        <f t="shared" si="0"/>
        <v>3.7410287528473418</v>
      </c>
      <c r="F24">
        <f t="shared" si="1"/>
        <v>25.506685883270197</v>
      </c>
      <c r="G24">
        <f t="shared" si="2"/>
        <v>21.765657130422856</v>
      </c>
      <c r="H24">
        <f t="shared" si="3"/>
        <v>109.29244729531706</v>
      </c>
    </row>
    <row r="25" spans="1:8" x14ac:dyDescent="0.3">
      <c r="A25" s="4" t="s">
        <v>23</v>
      </c>
      <c r="B25" s="3">
        <v>2.7783397439015101</v>
      </c>
      <c r="C25">
        <v>2.2740666406860339</v>
      </c>
      <c r="D25" s="3">
        <v>0.83761648220214902</v>
      </c>
      <c r="E25">
        <f t="shared" si="0"/>
        <v>1.940723261699361</v>
      </c>
      <c r="F25">
        <f t="shared" si="1"/>
        <v>1.4364501584838849</v>
      </c>
      <c r="G25">
        <f t="shared" si="2"/>
        <v>-0.50427310321547614</v>
      </c>
      <c r="H25">
        <f t="shared" si="3"/>
        <v>-18.150159796776538</v>
      </c>
    </row>
    <row r="30" spans="1:8" x14ac:dyDescent="0.3">
      <c r="A30" s="26" t="s">
        <v>52</v>
      </c>
      <c r="B30" s="26" t="s">
        <v>64</v>
      </c>
      <c r="C30" s="26" t="s">
        <v>65</v>
      </c>
    </row>
    <row r="31" spans="1:8" x14ac:dyDescent="0.3">
      <c r="A31" s="4" t="s">
        <v>19</v>
      </c>
      <c r="B31" s="27">
        <v>7.1271390199833746</v>
      </c>
      <c r="C31" s="27">
        <v>9.9399888279739841</v>
      </c>
    </row>
    <row r="32" spans="1:8" x14ac:dyDescent="0.3">
      <c r="A32" s="4" t="s">
        <v>20</v>
      </c>
      <c r="B32" s="27">
        <v>4.0196708991976715</v>
      </c>
      <c r="C32" s="27">
        <v>8.6861311597948117</v>
      </c>
    </row>
    <row r="33" spans="1:3" x14ac:dyDescent="0.3">
      <c r="A33" s="4" t="s">
        <v>21</v>
      </c>
      <c r="B33" s="27">
        <v>42.629354657650026</v>
      </c>
      <c r="C33" s="27">
        <v>13.88866056185492</v>
      </c>
    </row>
    <row r="34" spans="1:3" x14ac:dyDescent="0.3">
      <c r="A34" s="4" t="s">
        <v>22</v>
      </c>
      <c r="B34" s="27">
        <v>3.7410287528473418</v>
      </c>
      <c r="C34" s="27">
        <v>25.506685883270197</v>
      </c>
    </row>
    <row r="35" spans="1:3" x14ac:dyDescent="0.3">
      <c r="A35" s="4" t="s">
        <v>23</v>
      </c>
      <c r="B35" s="27">
        <v>1.940723261699361</v>
      </c>
      <c r="C35" s="27">
        <v>1.4364501584838849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78DF-4EF9-4763-B22D-4668807600A5}">
  <dimension ref="A1:F25"/>
  <sheetViews>
    <sheetView workbookViewId="0">
      <selection activeCell="E27" sqref="E27"/>
    </sheetView>
  </sheetViews>
  <sheetFormatPr defaultRowHeight="14.4" x14ac:dyDescent="0.3"/>
  <cols>
    <col min="6" max="6" width="47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12.5760225978451</v>
      </c>
      <c r="C2">
        <v>0</v>
      </c>
      <c r="D2">
        <v>0</v>
      </c>
      <c r="E2">
        <v>0</v>
      </c>
      <c r="F2" t="s">
        <v>6</v>
      </c>
    </row>
    <row r="3" spans="1:6" x14ac:dyDescent="0.3">
      <c r="A3">
        <v>1</v>
      </c>
      <c r="B3">
        <v>0.37988592560029799</v>
      </c>
      <c r="C3">
        <v>0</v>
      </c>
      <c r="D3">
        <v>1</v>
      </c>
      <c r="E3">
        <v>1</v>
      </c>
      <c r="F3" t="s">
        <v>6</v>
      </c>
    </row>
    <row r="4" spans="1:6" x14ac:dyDescent="0.3">
      <c r="A4">
        <v>2</v>
      </c>
      <c r="B4">
        <v>6.1964542723302403</v>
      </c>
      <c r="C4">
        <v>0</v>
      </c>
      <c r="D4">
        <v>2</v>
      </c>
      <c r="E4">
        <v>2</v>
      </c>
      <c r="F4" t="s">
        <v>6</v>
      </c>
    </row>
    <row r="5" spans="1:6" x14ac:dyDescent="0.3">
      <c r="A5">
        <v>3</v>
      </c>
      <c r="B5">
        <v>0.18657212567138601</v>
      </c>
      <c r="C5">
        <v>0</v>
      </c>
      <c r="D5">
        <v>3</v>
      </c>
      <c r="E5">
        <v>3</v>
      </c>
      <c r="F5" t="s">
        <v>6</v>
      </c>
    </row>
    <row r="6" spans="1:6" x14ac:dyDescent="0.3">
      <c r="A6">
        <v>4</v>
      </c>
      <c r="B6">
        <v>0.364226696381452</v>
      </c>
      <c r="C6">
        <v>0</v>
      </c>
      <c r="D6">
        <v>4</v>
      </c>
      <c r="E6">
        <v>4</v>
      </c>
      <c r="F6" t="s">
        <v>6</v>
      </c>
    </row>
    <row r="7" spans="1:6" x14ac:dyDescent="0.3">
      <c r="A7">
        <v>5</v>
      </c>
      <c r="B7">
        <v>7.2654494995117197E-2</v>
      </c>
      <c r="C7">
        <v>1</v>
      </c>
      <c r="D7">
        <v>0</v>
      </c>
      <c r="E7">
        <v>10</v>
      </c>
      <c r="F7" t="s">
        <v>6</v>
      </c>
    </row>
    <row r="8" spans="1:6" x14ac:dyDescent="0.3">
      <c r="A8">
        <v>6</v>
      </c>
      <c r="B8">
        <v>7.062401149117</v>
      </c>
      <c r="C8">
        <v>1</v>
      </c>
      <c r="D8">
        <v>1</v>
      </c>
      <c r="E8">
        <v>11</v>
      </c>
      <c r="F8" t="s">
        <v>6</v>
      </c>
    </row>
    <row r="9" spans="1:6" x14ac:dyDescent="0.3">
      <c r="A9">
        <v>7</v>
      </c>
      <c r="B9">
        <v>3.4656618628207201</v>
      </c>
      <c r="C9">
        <v>1</v>
      </c>
      <c r="D9">
        <v>2</v>
      </c>
      <c r="E9">
        <v>12</v>
      </c>
      <c r="F9" t="s">
        <v>6</v>
      </c>
    </row>
    <row r="10" spans="1:6" x14ac:dyDescent="0.3">
      <c r="A10">
        <v>8</v>
      </c>
      <c r="B10">
        <v>3.7969931884765599E-2</v>
      </c>
      <c r="C10">
        <v>1</v>
      </c>
      <c r="D10">
        <v>3</v>
      </c>
      <c r="E10">
        <v>13</v>
      </c>
      <c r="F10" t="s">
        <v>6</v>
      </c>
    </row>
    <row r="11" spans="1:6" x14ac:dyDescent="0.3">
      <c r="A11">
        <v>9</v>
      </c>
      <c r="B11">
        <v>0.44338460949706998</v>
      </c>
      <c r="C11">
        <v>1</v>
      </c>
      <c r="D11">
        <v>4</v>
      </c>
      <c r="E11">
        <v>14</v>
      </c>
      <c r="F11" t="s">
        <v>6</v>
      </c>
    </row>
    <row r="12" spans="1:6" x14ac:dyDescent="0.3">
      <c r="A12">
        <v>10</v>
      </c>
      <c r="B12">
        <v>9.5189233426834594</v>
      </c>
      <c r="C12">
        <v>2</v>
      </c>
      <c r="D12">
        <v>0</v>
      </c>
      <c r="E12">
        <v>20</v>
      </c>
      <c r="F12" t="s">
        <v>6</v>
      </c>
    </row>
    <row r="13" spans="1:6" x14ac:dyDescent="0.3">
      <c r="A13">
        <v>11</v>
      </c>
      <c r="B13">
        <v>7.2069369904761098</v>
      </c>
      <c r="C13">
        <v>2</v>
      </c>
      <c r="D13">
        <v>1</v>
      </c>
      <c r="E13">
        <v>21</v>
      </c>
      <c r="F13" t="s">
        <v>6</v>
      </c>
    </row>
    <row r="14" spans="1:6" x14ac:dyDescent="0.3">
      <c r="A14">
        <v>12</v>
      </c>
      <c r="B14">
        <v>142.63267305623199</v>
      </c>
      <c r="C14">
        <v>2</v>
      </c>
      <c r="D14">
        <v>2</v>
      </c>
      <c r="E14">
        <v>22</v>
      </c>
      <c r="F14" t="s">
        <v>6</v>
      </c>
    </row>
    <row r="15" spans="1:6" x14ac:dyDescent="0.3">
      <c r="A15">
        <v>13</v>
      </c>
      <c r="B15">
        <v>25.274655471885101</v>
      </c>
      <c r="C15">
        <v>2</v>
      </c>
      <c r="D15">
        <v>3</v>
      </c>
      <c r="E15">
        <v>23</v>
      </c>
      <c r="F15" t="s">
        <v>6</v>
      </c>
    </row>
    <row r="16" spans="1:6" x14ac:dyDescent="0.3">
      <c r="A16">
        <v>14</v>
      </c>
      <c r="B16">
        <v>0.62883885260536299</v>
      </c>
      <c r="C16">
        <v>2</v>
      </c>
      <c r="D16">
        <v>4</v>
      </c>
      <c r="E16">
        <v>24</v>
      </c>
      <c r="F16" t="s">
        <v>6</v>
      </c>
    </row>
    <row r="17" spans="1:6" x14ac:dyDescent="0.3">
      <c r="A17">
        <v>15</v>
      </c>
      <c r="B17">
        <v>4.45841667480468E-2</v>
      </c>
      <c r="C17">
        <v>3</v>
      </c>
      <c r="D17">
        <v>0</v>
      </c>
      <c r="E17">
        <v>30</v>
      </c>
      <c r="F17" t="s">
        <v>6</v>
      </c>
    </row>
    <row r="18" spans="1:6" x14ac:dyDescent="0.3">
      <c r="A18">
        <v>16</v>
      </c>
      <c r="B18">
        <v>3.4551594866584302E-2</v>
      </c>
      <c r="C18">
        <v>3</v>
      </c>
      <c r="D18">
        <v>1</v>
      </c>
      <c r="E18">
        <v>31</v>
      </c>
      <c r="F18" t="s">
        <v>6</v>
      </c>
    </row>
    <row r="19" spans="1:6" x14ac:dyDescent="0.3">
      <c r="A19">
        <v>17</v>
      </c>
      <c r="B19">
        <v>3.6618929912327101</v>
      </c>
      <c r="C19">
        <v>3</v>
      </c>
      <c r="D19">
        <v>2</v>
      </c>
      <c r="E19">
        <v>32</v>
      </c>
      <c r="F19" t="s">
        <v>6</v>
      </c>
    </row>
    <row r="20" spans="1:6" x14ac:dyDescent="0.3">
      <c r="A20">
        <v>18</v>
      </c>
      <c r="B20">
        <v>16.174031865760899</v>
      </c>
      <c r="C20">
        <v>3</v>
      </c>
      <c r="D20">
        <v>3</v>
      </c>
      <c r="E20">
        <v>33</v>
      </c>
      <c r="F20" t="s">
        <v>6</v>
      </c>
    </row>
    <row r="21" spans="1:6" x14ac:dyDescent="0.3">
      <c r="A21">
        <v>19</v>
      </c>
      <c r="B21">
        <v>0.30382682354736301</v>
      </c>
      <c r="C21">
        <v>4</v>
      </c>
      <c r="D21">
        <v>0</v>
      </c>
      <c r="E21">
        <v>40</v>
      </c>
      <c r="F21" t="s">
        <v>6</v>
      </c>
    </row>
    <row r="22" spans="1:6" x14ac:dyDescent="0.3">
      <c r="A22">
        <v>20</v>
      </c>
      <c r="B22">
        <v>1.0647566488518201</v>
      </c>
      <c r="C22">
        <v>4</v>
      </c>
      <c r="D22">
        <v>1</v>
      </c>
      <c r="E22">
        <v>41</v>
      </c>
      <c r="F22" t="s">
        <v>6</v>
      </c>
    </row>
    <row r="23" spans="1:6" x14ac:dyDescent="0.3">
      <c r="A23">
        <v>21</v>
      </c>
      <c r="B23">
        <v>0.56465143547123897</v>
      </c>
      <c r="C23">
        <v>4</v>
      </c>
      <c r="D23">
        <v>2</v>
      </c>
      <c r="E23">
        <v>42</v>
      </c>
      <c r="F23" t="s">
        <v>6</v>
      </c>
    </row>
    <row r="24" spans="1:6" x14ac:dyDescent="0.3">
      <c r="A24">
        <v>22</v>
      </c>
      <c r="B24">
        <v>7.4883538289388001E-3</v>
      </c>
      <c r="C24">
        <v>4</v>
      </c>
      <c r="D24">
        <v>3</v>
      </c>
      <c r="E24">
        <v>43</v>
      </c>
      <c r="F24" t="s">
        <v>6</v>
      </c>
    </row>
    <row r="25" spans="1:6" x14ac:dyDescent="0.3">
      <c r="A25">
        <v>23</v>
      </c>
      <c r="B25">
        <v>0.83761648220214902</v>
      </c>
      <c r="C25">
        <v>4</v>
      </c>
      <c r="D25">
        <v>4</v>
      </c>
      <c r="E25">
        <v>44</v>
      </c>
      <c r="F2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Area Statistics</vt:lpstr>
      <vt:lpstr>Transition Matrix</vt:lpstr>
      <vt:lpstr>Detail1</vt:lpstr>
      <vt:lpstr>PivotTable</vt:lpstr>
      <vt:lpstr>LULC_transition_matrix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Md Sakib</cp:lastModifiedBy>
  <dcterms:created xsi:type="dcterms:W3CDTF">2026-08-31T09:08:36Z</dcterms:created>
  <dcterms:modified xsi:type="dcterms:W3CDTF">2026-08-31T15:09:54Z</dcterms:modified>
</cp:coreProperties>
</file>